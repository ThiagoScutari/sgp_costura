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Thiago Scutari Consultoria\Empresas\DRX_textil\sequencia_operacional\sgp_costura\"/>
    </mc:Choice>
  </mc:AlternateContent>
  <xr:revisionPtr revIDLastSave="0" documentId="8_{05FA7CA5-3868-49B2-9B30-377B52BC9906}" xr6:coauthVersionLast="47" xr6:coauthVersionMax="47" xr10:uidLastSave="{00000000-0000-0000-0000-000000000000}"/>
  <bookViews>
    <workbookView xWindow="-108" yWindow="-108" windowWidth="23256" windowHeight="12456" xr2:uid="{90CAF8C2-E0E4-4A9A-A6BF-7727CA86DF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F3" i="1"/>
  <c r="E2" i="1"/>
  <c r="F2" i="1"/>
  <c r="C56" i="1"/>
  <c r="B61" i="1"/>
  <c r="B60" i="1"/>
  <c r="B57" i="1"/>
  <c r="B55" i="1"/>
  <c r="F50" i="1"/>
  <c r="E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</calcChain>
</file>

<file path=xl/sharedStrings.xml><?xml version="1.0" encoding="utf-8"?>
<sst xmlns="http://schemas.openxmlformats.org/spreadsheetml/2006/main" count="122" uniqueCount="78">
  <si>
    <t>Quantidade de Peças</t>
  </si>
  <si>
    <t>Ordem de Produção</t>
  </si>
  <si>
    <t>Tamanhos</t>
  </si>
  <si>
    <t>Grade</t>
  </si>
  <si>
    <t>36 ao 46</t>
  </si>
  <si>
    <t>Quantidade por Tamanho</t>
  </si>
  <si>
    <t>Costureiras</t>
  </si>
  <si>
    <t>Referencia do Produto</t>
  </si>
  <si>
    <t>CL.5982</t>
  </si>
  <si>
    <t>Ana</t>
  </si>
  <si>
    <t>Beatriz</t>
  </si>
  <si>
    <t>Carla</t>
  </si>
  <si>
    <t>Dayane</t>
  </si>
  <si>
    <t>Overloque</t>
  </si>
  <si>
    <t>Cobertura</t>
  </si>
  <si>
    <t>Polivalencia</t>
  </si>
  <si>
    <t>Reta, Overloque, Cobertura, Catraca</t>
  </si>
  <si>
    <t>Reta, Overloque, Cobertura</t>
  </si>
  <si>
    <t>Maquinas</t>
  </si>
  <si>
    <t>Retas</t>
  </si>
  <si>
    <t>Catraca</t>
  </si>
  <si>
    <t>Quantidade</t>
  </si>
  <si>
    <t>Fator de Eficiencia Global</t>
  </si>
  <si>
    <t>Ordem</t>
  </si>
  <si>
    <t>Descrição</t>
  </si>
  <si>
    <t>Máquina Original</t>
  </si>
  <si>
    <t>Máquina Macro</t>
  </si>
  <si>
    <t>FECHAR LADOS</t>
  </si>
  <si>
    <t>OVERLOCK SIMPLES</t>
  </si>
  <si>
    <t>APLICAR FRISO NAS CAVAS</t>
  </si>
  <si>
    <t>FRISO COBERTURA 1 AGULHA</t>
  </si>
  <si>
    <t>COBERTURA</t>
  </si>
  <si>
    <t>CORTAR CADARÇO/ELÁSTICO/FIOS/FRISO BOLSOS, MANGAS, ENDIREITA</t>
  </si>
  <si>
    <t>MANUAL COSTURA</t>
  </si>
  <si>
    <t>MANUAL</t>
  </si>
  <si>
    <t>TOMBAR E PESPONTAR FRISO CAVAS</t>
  </si>
  <si>
    <t>RETA AUTOMATICA</t>
  </si>
  <si>
    <t>RETA</t>
  </si>
  <si>
    <t>CORTAR FRISO/CADARÇO RENTE A PC</t>
  </si>
  <si>
    <t>FAZER ALÇAS/CINTO/LAÇO DE FRISO</t>
  </si>
  <si>
    <t>FRISO CATRACA 2 AGULHAS</t>
  </si>
  <si>
    <t>CATRACA</t>
  </si>
  <si>
    <t>MEDIR E CORTAR - 2 VEZES</t>
  </si>
  <si>
    <t>FIXAR ALÇAS 2X</t>
  </si>
  <si>
    <t>APLICAR FRISO NO DECOTE FRENTE E COSTAS - PTES. SEPARADAS</t>
  </si>
  <si>
    <t>MARCAR MEIO PÇ</t>
  </si>
  <si>
    <t>PREGAR ETIQUETA</t>
  </si>
  <si>
    <t>TOMBAR E PESPONTAR FRISO 2X DOBRANDO PONTAS</t>
  </si>
  <si>
    <t>UNIR RECORTE CENTRO COSTA</t>
  </si>
  <si>
    <t>FECHAR LADOS C/ETIQUETA</t>
  </si>
  <si>
    <t>RECORTAR BARRA (SE NECESSARIO)</t>
  </si>
  <si>
    <t>FAZER COBERTURA NA BARRA EM ANEL (CRONOMETRADO)</t>
  </si>
  <si>
    <t>COBERTURA 2 AGULHAS BASE PLANA</t>
  </si>
  <si>
    <t>TRAVETAR BAINHA FEITA NA COBERTURA EM ANEL</t>
  </si>
  <si>
    <t>FRANZIR CINTURA EM ANEL</t>
  </si>
  <si>
    <t>UNIR PARTE SUPERIOR C/INFERIOR EM ANEL (VESTIDO)</t>
  </si>
  <si>
    <t>CORTAR FIOS E REVISAR VESTIDO M/M (DOBRAR 5 EM 5 E AMARRAR PCT C/10)</t>
  </si>
  <si>
    <t>OVERLOQUE</t>
  </si>
  <si>
    <t>Tempo de Pulso</t>
  </si>
  <si>
    <t>Sequencia operacional (PSO)</t>
  </si>
  <si>
    <t>Tempo (minutos)</t>
  </si>
  <si>
    <t>Tempo + fator</t>
  </si>
  <si>
    <t>Números de costureiras (N)</t>
  </si>
  <si>
    <t>Pulso (P)</t>
  </si>
  <si>
    <t>Tempo total (TP)</t>
  </si>
  <si>
    <t>Tamanho do lote (TL)</t>
  </si>
  <si>
    <t>Arredondar para baixo</t>
  </si>
  <si>
    <t>Tota de peças</t>
  </si>
  <si>
    <t>Total de Carrinhos</t>
  </si>
  <si>
    <t>Arredondar para cima</t>
  </si>
  <si>
    <t>Ordem dos Carrinhos</t>
  </si>
  <si>
    <t>Costureira ?</t>
  </si>
  <si>
    <t>Qual Máquina(s)?</t>
  </si>
  <si>
    <t>Quantidade de peças</t>
  </si>
  <si>
    <t>Qual Operação(s)</t>
  </si>
  <si>
    <t>Qual Time</t>
  </si>
  <si>
    <t>Quanto Tempo</t>
  </si>
  <si>
    <t>OP 1
Fechar Lados
Overlock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</si>
</sst>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0"/>
  </numFmts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29F7A-544F-4367-A5FF-741D3D535B72}">
  <dimension ref="A1:I122"/>
  <sheetViews>
    <sheetView tabSelected="1" topLeftCell="A25" workbookViewId="0">
      <selection activeCell="B33" sqref="B33"/>
    </sheetView>
  </sheetViews>
  <sheetFormatPr defaultRowHeight="14.4" x14ac:dyDescent="0.3"/>
  <cols>
    <col min="1" max="1" width="25.6640625" customWidth="1"/>
    <col min="2" max="2" width="68.88671875" bestFit="1" customWidth="1"/>
    <col min="3" max="3" width="16.109375" customWidth="1"/>
    <col min="4" max="4" width="20.5546875" customWidth="1"/>
    <col min="5" max="5" width="17" customWidth="1"/>
    <col min="6" max="6" width="20" bestFit="1" customWidth="1"/>
    <col min="7" max="7" width="14.109375" bestFit="1" customWidth="1"/>
    <col min="10" max="10" width="12" bestFit="1" customWidth="1"/>
  </cols>
  <sheetData>
    <row r="1" spans="1:6" ht="15" thickBot="1" x14ac:dyDescent="0.35"/>
    <row r="2" spans="1:6" x14ac:dyDescent="0.3">
      <c r="A2" t="s">
        <v>6</v>
      </c>
      <c r="B2" t="s">
        <v>15</v>
      </c>
      <c r="E2" s="5" t="str">
        <f>"Tempo: "&amp; "0,4181"</f>
        <v>Tempo: 0,4181</v>
      </c>
      <c r="F2" s="6" t="str">
        <f>"Qtd Peças: "&amp;ROUNDDOWN(C56,0)</f>
        <v>Qtd Peças: 20</v>
      </c>
    </row>
    <row r="3" spans="1:6" x14ac:dyDescent="0.3">
      <c r="A3" t="s">
        <v>9</v>
      </c>
      <c r="B3" t="s">
        <v>16</v>
      </c>
      <c r="E3" s="7" t="s">
        <v>77</v>
      </c>
      <c r="F3" s="10">
        <f>ROUNDDOWN(C56,0)*F28</f>
        <v>8.3615999999999993</v>
      </c>
    </row>
    <row r="4" spans="1:6" x14ac:dyDescent="0.3">
      <c r="A4" t="s">
        <v>10</v>
      </c>
      <c r="B4" t="s">
        <v>16</v>
      </c>
      <c r="E4" s="8"/>
      <c r="F4" s="10"/>
    </row>
    <row r="5" spans="1:6" x14ac:dyDescent="0.3">
      <c r="A5" t="s">
        <v>11</v>
      </c>
      <c r="B5" t="s">
        <v>17</v>
      </c>
      <c r="E5" s="8"/>
      <c r="F5" s="10"/>
    </row>
    <row r="6" spans="1:6" x14ac:dyDescent="0.3">
      <c r="A6" t="s">
        <v>12</v>
      </c>
      <c r="B6" t="s">
        <v>17</v>
      </c>
      <c r="E6" s="8"/>
      <c r="F6" s="10"/>
    </row>
    <row r="7" spans="1:6" ht="15" thickBot="1" x14ac:dyDescent="0.35">
      <c r="E7" s="9"/>
      <c r="F7" s="11"/>
    </row>
    <row r="8" spans="1:6" x14ac:dyDescent="0.3">
      <c r="A8" t="s">
        <v>22</v>
      </c>
      <c r="B8" s="1">
        <v>0.8</v>
      </c>
    </row>
    <row r="9" spans="1:6" x14ac:dyDescent="0.3">
      <c r="B9" s="1"/>
    </row>
    <row r="10" spans="1:6" x14ac:dyDescent="0.3">
      <c r="A10" t="s">
        <v>58</v>
      </c>
      <c r="B10" s="2">
        <v>2.0833333333333332E-2</v>
      </c>
    </row>
    <row r="13" spans="1:6" x14ac:dyDescent="0.3">
      <c r="A13" t="s">
        <v>18</v>
      </c>
      <c r="B13" t="s">
        <v>21</v>
      </c>
    </row>
    <row r="14" spans="1:6" x14ac:dyDescent="0.3">
      <c r="A14" t="s">
        <v>19</v>
      </c>
      <c r="B14">
        <v>6</v>
      </c>
    </row>
    <row r="15" spans="1:6" x14ac:dyDescent="0.3">
      <c r="A15" t="s">
        <v>13</v>
      </c>
      <c r="B15">
        <v>4</v>
      </c>
    </row>
    <row r="16" spans="1:6" x14ac:dyDescent="0.3">
      <c r="A16" t="s">
        <v>20</v>
      </c>
      <c r="B16">
        <v>1</v>
      </c>
    </row>
    <row r="17" spans="1:7" x14ac:dyDescent="0.3">
      <c r="A17" t="s">
        <v>14</v>
      </c>
      <c r="B17">
        <v>4</v>
      </c>
    </row>
    <row r="19" spans="1:7" x14ac:dyDescent="0.3">
      <c r="A19" t="s">
        <v>1</v>
      </c>
      <c r="B19">
        <v>22022</v>
      </c>
    </row>
    <row r="20" spans="1:7" x14ac:dyDescent="0.3">
      <c r="A20" t="s">
        <v>7</v>
      </c>
      <c r="B20" t="s">
        <v>8</v>
      </c>
    </row>
    <row r="21" spans="1:7" x14ac:dyDescent="0.3">
      <c r="A21" t="s">
        <v>0</v>
      </c>
      <c r="B21">
        <v>585</v>
      </c>
    </row>
    <row r="22" spans="1:7" x14ac:dyDescent="0.3">
      <c r="A22" t="s">
        <v>3</v>
      </c>
      <c r="B22" t="s">
        <v>4</v>
      </c>
    </row>
    <row r="23" spans="1:7" x14ac:dyDescent="0.3">
      <c r="A23" t="s">
        <v>2</v>
      </c>
      <c r="B23">
        <v>36</v>
      </c>
      <c r="C23">
        <v>38</v>
      </c>
      <c r="D23">
        <v>40</v>
      </c>
      <c r="E23">
        <v>42</v>
      </c>
      <c r="F23">
        <v>44</v>
      </c>
      <c r="G23">
        <v>46</v>
      </c>
    </row>
    <row r="24" spans="1:7" x14ac:dyDescent="0.3">
      <c r="A24" t="s">
        <v>5</v>
      </c>
      <c r="B24">
        <v>65</v>
      </c>
      <c r="C24">
        <v>130</v>
      </c>
      <c r="D24">
        <v>130</v>
      </c>
      <c r="E24">
        <v>130</v>
      </c>
      <c r="F24">
        <v>65</v>
      </c>
      <c r="G24">
        <v>65</v>
      </c>
    </row>
    <row r="26" spans="1:7" x14ac:dyDescent="0.3">
      <c r="A26" t="s">
        <v>59</v>
      </c>
    </row>
    <row r="27" spans="1:7" x14ac:dyDescent="0.3">
      <c r="A27" t="s">
        <v>23</v>
      </c>
      <c r="B27" t="s">
        <v>24</v>
      </c>
      <c r="C27" t="s">
        <v>25</v>
      </c>
      <c r="D27" t="s">
        <v>26</v>
      </c>
      <c r="E27" t="s">
        <v>60</v>
      </c>
      <c r="F27" t="s">
        <v>61</v>
      </c>
    </row>
    <row r="28" spans="1:7" x14ac:dyDescent="0.3">
      <c r="A28">
        <v>14</v>
      </c>
      <c r="B28" t="s">
        <v>27</v>
      </c>
      <c r="C28" t="s">
        <v>28</v>
      </c>
      <c r="D28" t="s">
        <v>57</v>
      </c>
      <c r="E28">
        <v>0.34839999999999999</v>
      </c>
      <c r="F28" s="3">
        <f>E28*(1+(1-$B$8))</f>
        <v>0.41807999999999995</v>
      </c>
      <c r="G28" s="1"/>
    </row>
    <row r="29" spans="1:7" x14ac:dyDescent="0.3">
      <c r="A29">
        <v>15</v>
      </c>
      <c r="B29" t="s">
        <v>29</v>
      </c>
      <c r="C29" t="s">
        <v>30</v>
      </c>
      <c r="D29" t="s">
        <v>31</v>
      </c>
      <c r="E29">
        <v>0.245</v>
      </c>
      <c r="F29" s="3">
        <f t="shared" ref="F29:F49" si="0">E29*(1+(1-$B$8))</f>
        <v>0.29399999999999998</v>
      </c>
    </row>
    <row r="30" spans="1:7" x14ac:dyDescent="0.3">
      <c r="A30">
        <v>16</v>
      </c>
      <c r="B30" t="s">
        <v>32</v>
      </c>
      <c r="C30" t="s">
        <v>33</v>
      </c>
      <c r="D30" t="s">
        <v>34</v>
      </c>
      <c r="E30">
        <v>7.9799999999999996E-2</v>
      </c>
      <c r="F30" s="3">
        <f t="shared" si="0"/>
        <v>9.5759999999999998E-2</v>
      </c>
    </row>
    <row r="31" spans="1:7" x14ac:dyDescent="0.3">
      <c r="A31">
        <v>17</v>
      </c>
      <c r="B31" t="s">
        <v>35</v>
      </c>
      <c r="C31" t="s">
        <v>36</v>
      </c>
      <c r="D31" t="s">
        <v>37</v>
      </c>
      <c r="E31">
        <v>0.4415</v>
      </c>
      <c r="F31" s="3">
        <f t="shared" si="0"/>
        <v>0.52979999999999994</v>
      </c>
    </row>
    <row r="32" spans="1:7" x14ac:dyDescent="0.3">
      <c r="A32">
        <v>18</v>
      </c>
      <c r="B32" t="s">
        <v>38</v>
      </c>
      <c r="C32" t="s">
        <v>33</v>
      </c>
      <c r="D32" t="s">
        <v>34</v>
      </c>
      <c r="E32">
        <v>0.12709999999999999</v>
      </c>
      <c r="F32" s="3">
        <f t="shared" si="0"/>
        <v>0.15251999999999999</v>
      </c>
    </row>
    <row r="33" spans="1:6" x14ac:dyDescent="0.3">
      <c r="A33">
        <v>19</v>
      </c>
      <c r="B33" t="s">
        <v>39</v>
      </c>
      <c r="C33" t="s">
        <v>40</v>
      </c>
      <c r="D33" t="s">
        <v>41</v>
      </c>
      <c r="E33">
        <v>0.20889999999999997</v>
      </c>
      <c r="F33" s="3">
        <f t="shared" si="0"/>
        <v>0.25067999999999996</v>
      </c>
    </row>
    <row r="34" spans="1:6" x14ac:dyDescent="0.3">
      <c r="A34">
        <v>20</v>
      </c>
      <c r="B34" t="s">
        <v>42</v>
      </c>
      <c r="C34" t="s">
        <v>33</v>
      </c>
      <c r="D34" t="s">
        <v>34</v>
      </c>
      <c r="E34">
        <v>0.22549999999999998</v>
      </c>
      <c r="F34" s="3">
        <f t="shared" si="0"/>
        <v>0.27059999999999995</v>
      </c>
    </row>
    <row r="35" spans="1:6" x14ac:dyDescent="0.3">
      <c r="A35">
        <v>21</v>
      </c>
      <c r="B35" t="s">
        <v>43</v>
      </c>
      <c r="C35" t="s">
        <v>36</v>
      </c>
      <c r="D35" t="s">
        <v>37</v>
      </c>
      <c r="E35">
        <v>0.3614</v>
      </c>
      <c r="F35" s="3">
        <f t="shared" si="0"/>
        <v>0.43368000000000001</v>
      </c>
    </row>
    <row r="36" spans="1:6" x14ac:dyDescent="0.3">
      <c r="A36">
        <v>22</v>
      </c>
      <c r="B36" t="s">
        <v>43</v>
      </c>
      <c r="C36" t="s">
        <v>36</v>
      </c>
      <c r="D36" t="s">
        <v>37</v>
      </c>
      <c r="E36">
        <v>0.3614</v>
      </c>
      <c r="F36" s="3">
        <f t="shared" si="0"/>
        <v>0.43368000000000001</v>
      </c>
    </row>
    <row r="37" spans="1:6" x14ac:dyDescent="0.3">
      <c r="A37">
        <v>23</v>
      </c>
      <c r="B37" t="s">
        <v>44</v>
      </c>
      <c r="C37" t="s">
        <v>30</v>
      </c>
      <c r="D37" t="s">
        <v>31</v>
      </c>
      <c r="E37">
        <v>0.28119999999999995</v>
      </c>
      <c r="F37" s="3">
        <f t="shared" si="0"/>
        <v>0.33743999999999991</v>
      </c>
    </row>
    <row r="38" spans="1:6" x14ac:dyDescent="0.3">
      <c r="A38">
        <v>24</v>
      </c>
      <c r="B38" t="s">
        <v>32</v>
      </c>
      <c r="C38" t="s">
        <v>33</v>
      </c>
      <c r="D38" t="s">
        <v>34</v>
      </c>
      <c r="E38">
        <v>7.9799999999999996E-2</v>
      </c>
      <c r="F38" s="3">
        <f t="shared" si="0"/>
        <v>9.5759999999999998E-2</v>
      </c>
    </row>
    <row r="39" spans="1:6" x14ac:dyDescent="0.3">
      <c r="A39">
        <v>25</v>
      </c>
      <c r="B39" t="s">
        <v>45</v>
      </c>
      <c r="C39" t="s">
        <v>33</v>
      </c>
      <c r="D39" t="s">
        <v>34</v>
      </c>
      <c r="E39">
        <v>6.6299999999999998E-2</v>
      </c>
      <c r="F39" s="3">
        <f t="shared" si="0"/>
        <v>7.9559999999999992E-2</v>
      </c>
    </row>
    <row r="40" spans="1:6" x14ac:dyDescent="0.3">
      <c r="A40">
        <v>26</v>
      </c>
      <c r="B40" t="s">
        <v>46</v>
      </c>
      <c r="C40" t="s">
        <v>36</v>
      </c>
      <c r="D40" t="s">
        <v>37</v>
      </c>
      <c r="E40">
        <v>0.30630000000000002</v>
      </c>
      <c r="F40" s="3">
        <f t="shared" si="0"/>
        <v>0.36756</v>
      </c>
    </row>
    <row r="41" spans="1:6" x14ac:dyDescent="0.3">
      <c r="A41">
        <v>27</v>
      </c>
      <c r="B41" t="s">
        <v>47</v>
      </c>
      <c r="C41" t="s">
        <v>36</v>
      </c>
      <c r="D41" t="s">
        <v>37</v>
      </c>
      <c r="E41">
        <v>0.87829999999999997</v>
      </c>
      <c r="F41" s="3">
        <f t="shared" si="0"/>
        <v>1.05396</v>
      </c>
    </row>
    <row r="42" spans="1:6" x14ac:dyDescent="0.3">
      <c r="A42">
        <v>28</v>
      </c>
      <c r="B42" t="s">
        <v>48</v>
      </c>
      <c r="C42" t="s">
        <v>28</v>
      </c>
      <c r="D42" t="s">
        <v>57</v>
      </c>
      <c r="E42">
        <v>0.29649999999999999</v>
      </c>
      <c r="F42" s="3">
        <f t="shared" si="0"/>
        <v>0.35579999999999995</v>
      </c>
    </row>
    <row r="43" spans="1:6" x14ac:dyDescent="0.3">
      <c r="A43">
        <v>29</v>
      </c>
      <c r="B43" t="s">
        <v>49</v>
      </c>
      <c r="C43" t="s">
        <v>28</v>
      </c>
      <c r="D43" t="s">
        <v>57</v>
      </c>
      <c r="E43">
        <v>0.59549999999999992</v>
      </c>
      <c r="F43" s="3">
        <f t="shared" si="0"/>
        <v>0.7145999999999999</v>
      </c>
    </row>
    <row r="44" spans="1:6" x14ac:dyDescent="0.3">
      <c r="A44">
        <v>30</v>
      </c>
      <c r="B44" t="s">
        <v>50</v>
      </c>
      <c r="C44" t="s">
        <v>33</v>
      </c>
      <c r="D44" t="s">
        <v>34</v>
      </c>
      <c r="E44">
        <v>0.1452</v>
      </c>
      <c r="F44" s="3">
        <f t="shared" si="0"/>
        <v>0.17423999999999998</v>
      </c>
    </row>
    <row r="45" spans="1:6" x14ac:dyDescent="0.3">
      <c r="A45">
        <v>31</v>
      </c>
      <c r="B45" t="s">
        <v>51</v>
      </c>
      <c r="C45" t="s">
        <v>52</v>
      </c>
      <c r="D45" t="s">
        <v>31</v>
      </c>
      <c r="E45">
        <v>0.90929999999999989</v>
      </c>
      <c r="F45" s="3">
        <f t="shared" si="0"/>
        <v>1.0911599999999999</v>
      </c>
    </row>
    <row r="46" spans="1:6" x14ac:dyDescent="0.3">
      <c r="A46">
        <v>32</v>
      </c>
      <c r="B46" t="s">
        <v>53</v>
      </c>
      <c r="C46" t="s">
        <v>37</v>
      </c>
      <c r="D46" t="s">
        <v>37</v>
      </c>
      <c r="E46">
        <v>0.12759999999999999</v>
      </c>
      <c r="F46" s="3">
        <f t="shared" si="0"/>
        <v>0.15311999999999998</v>
      </c>
    </row>
    <row r="47" spans="1:6" x14ac:dyDescent="0.3">
      <c r="A47">
        <v>33</v>
      </c>
      <c r="B47" t="s">
        <v>54</v>
      </c>
      <c r="C47" t="s">
        <v>36</v>
      </c>
      <c r="D47" t="s">
        <v>37</v>
      </c>
      <c r="E47">
        <v>0.97589999999999988</v>
      </c>
      <c r="F47" s="3">
        <f t="shared" si="0"/>
        <v>1.1710799999999999</v>
      </c>
    </row>
    <row r="48" spans="1:6" x14ac:dyDescent="0.3">
      <c r="A48">
        <v>34</v>
      </c>
      <c r="B48" t="s">
        <v>55</v>
      </c>
      <c r="C48" t="s">
        <v>28</v>
      </c>
      <c r="D48" t="s">
        <v>57</v>
      </c>
      <c r="E48">
        <v>1.2907</v>
      </c>
      <c r="F48" s="3">
        <f t="shared" si="0"/>
        <v>1.54884</v>
      </c>
    </row>
    <row r="49" spans="1:9" x14ac:dyDescent="0.3">
      <c r="A49">
        <v>35</v>
      </c>
      <c r="B49" t="s">
        <v>56</v>
      </c>
      <c r="C49" t="s">
        <v>33</v>
      </c>
      <c r="D49" t="s">
        <v>34</v>
      </c>
      <c r="E49">
        <v>1.3769</v>
      </c>
      <c r="F49" s="3">
        <f t="shared" si="0"/>
        <v>1.65228</v>
      </c>
    </row>
    <row r="50" spans="1:9" x14ac:dyDescent="0.3">
      <c r="E50">
        <f>SUM(E28:E49)</f>
        <v>9.7285000000000004</v>
      </c>
      <c r="F50" s="3">
        <f>SUM(F28:F49)</f>
        <v>11.674199999999999</v>
      </c>
    </row>
    <row r="53" spans="1:9" x14ac:dyDescent="0.3">
      <c r="A53" t="s">
        <v>62</v>
      </c>
      <c r="B53" s="4">
        <v>4</v>
      </c>
    </row>
    <row r="54" spans="1:9" x14ac:dyDescent="0.3">
      <c r="A54" t="s">
        <v>63</v>
      </c>
      <c r="B54">
        <v>30</v>
      </c>
      <c r="C54">
        <v>60</v>
      </c>
    </row>
    <row r="55" spans="1:9" x14ac:dyDescent="0.3">
      <c r="A55" t="s">
        <v>64</v>
      </c>
      <c r="B55" s="3">
        <f>F50</f>
        <v>11.674199999999999</v>
      </c>
    </row>
    <row r="56" spans="1:9" x14ac:dyDescent="0.3">
      <c r="A56" t="s">
        <v>65</v>
      </c>
      <c r="B56">
        <f>(B53*B54)/B55</f>
        <v>10.279076938890888</v>
      </c>
      <c r="C56">
        <f>(60/B55)*4</f>
        <v>20.558153877781777</v>
      </c>
    </row>
    <row r="57" spans="1:9" x14ac:dyDescent="0.3">
      <c r="A57" t="s">
        <v>66</v>
      </c>
      <c r="B57">
        <f>ROUNDDOWN(B56,0)</f>
        <v>10</v>
      </c>
    </row>
    <row r="59" spans="1:9" x14ac:dyDescent="0.3">
      <c r="A59" t="s">
        <v>67</v>
      </c>
      <c r="B59">
        <v>585</v>
      </c>
    </row>
    <row r="60" spans="1:9" x14ac:dyDescent="0.3">
      <c r="A60" t="s">
        <v>68</v>
      </c>
      <c r="B60">
        <f>B59/B57</f>
        <v>58.5</v>
      </c>
    </row>
    <row r="61" spans="1:9" x14ac:dyDescent="0.3">
      <c r="A61" t="s">
        <v>69</v>
      </c>
      <c r="B61">
        <f>ROUND(B60,0)</f>
        <v>59</v>
      </c>
    </row>
    <row r="63" spans="1:9" x14ac:dyDescent="0.3">
      <c r="A63" t="s">
        <v>70</v>
      </c>
      <c r="B63" t="s">
        <v>75</v>
      </c>
      <c r="C63" t="s">
        <v>71</v>
      </c>
      <c r="D63" t="s">
        <v>72</v>
      </c>
      <c r="E63" t="s">
        <v>74</v>
      </c>
      <c r="F63" t="s">
        <v>73</v>
      </c>
      <c r="G63" t="s">
        <v>76</v>
      </c>
      <c r="I63" t="s">
        <v>70</v>
      </c>
    </row>
    <row r="64" spans="1:9" x14ac:dyDescent="0.3">
      <c r="A64">
        <v>1</v>
      </c>
      <c r="I64" t="s">
        <v>75</v>
      </c>
    </row>
    <row r="65" spans="1:9" x14ac:dyDescent="0.3">
      <c r="A65">
        <v>2</v>
      </c>
      <c r="I65" t="s">
        <v>71</v>
      </c>
    </row>
    <row r="66" spans="1:9" x14ac:dyDescent="0.3">
      <c r="A66">
        <v>3</v>
      </c>
      <c r="I66" t="s">
        <v>72</v>
      </c>
    </row>
    <row r="67" spans="1:9" x14ac:dyDescent="0.3">
      <c r="A67">
        <v>4</v>
      </c>
      <c r="I67" t="s">
        <v>74</v>
      </c>
    </row>
    <row r="68" spans="1:9" x14ac:dyDescent="0.3">
      <c r="A68">
        <v>5</v>
      </c>
      <c r="I68" t="s">
        <v>73</v>
      </c>
    </row>
    <row r="69" spans="1:9" x14ac:dyDescent="0.3">
      <c r="A69">
        <v>6</v>
      </c>
      <c r="I69" t="s">
        <v>76</v>
      </c>
    </row>
    <row r="70" spans="1:9" x14ac:dyDescent="0.3">
      <c r="A70">
        <v>7</v>
      </c>
    </row>
    <row r="71" spans="1:9" x14ac:dyDescent="0.3">
      <c r="A71">
        <v>8</v>
      </c>
    </row>
    <row r="72" spans="1:9" x14ac:dyDescent="0.3">
      <c r="A72">
        <v>9</v>
      </c>
    </row>
    <row r="73" spans="1:9" x14ac:dyDescent="0.3">
      <c r="A73">
        <v>10</v>
      </c>
    </row>
    <row r="74" spans="1:9" x14ac:dyDescent="0.3">
      <c r="A74">
        <v>11</v>
      </c>
    </row>
    <row r="75" spans="1:9" x14ac:dyDescent="0.3">
      <c r="A75">
        <v>12</v>
      </c>
    </row>
    <row r="76" spans="1:9" x14ac:dyDescent="0.3">
      <c r="A76">
        <v>13</v>
      </c>
    </row>
    <row r="77" spans="1:9" x14ac:dyDescent="0.3">
      <c r="A77">
        <v>14</v>
      </c>
    </row>
    <row r="78" spans="1:9" x14ac:dyDescent="0.3">
      <c r="A78">
        <v>15</v>
      </c>
    </row>
    <row r="79" spans="1:9" x14ac:dyDescent="0.3">
      <c r="A79">
        <v>16</v>
      </c>
    </row>
    <row r="80" spans="1:9" x14ac:dyDescent="0.3">
      <c r="A80">
        <v>17</v>
      </c>
    </row>
    <row r="81" spans="1:1" x14ac:dyDescent="0.3">
      <c r="A81">
        <v>18</v>
      </c>
    </row>
    <row r="82" spans="1:1" x14ac:dyDescent="0.3">
      <c r="A82">
        <v>19</v>
      </c>
    </row>
    <row r="83" spans="1:1" x14ac:dyDescent="0.3">
      <c r="A83">
        <v>20</v>
      </c>
    </row>
    <row r="84" spans="1:1" x14ac:dyDescent="0.3">
      <c r="A84">
        <v>21</v>
      </c>
    </row>
    <row r="85" spans="1:1" x14ac:dyDescent="0.3">
      <c r="A85">
        <v>22</v>
      </c>
    </row>
    <row r="86" spans="1:1" x14ac:dyDescent="0.3">
      <c r="A86">
        <v>23</v>
      </c>
    </row>
    <row r="87" spans="1:1" x14ac:dyDescent="0.3">
      <c r="A87">
        <v>24</v>
      </c>
    </row>
    <row r="88" spans="1:1" x14ac:dyDescent="0.3">
      <c r="A88">
        <v>25</v>
      </c>
    </row>
    <row r="89" spans="1:1" x14ac:dyDescent="0.3">
      <c r="A89">
        <v>26</v>
      </c>
    </row>
    <row r="90" spans="1:1" x14ac:dyDescent="0.3">
      <c r="A90">
        <v>27</v>
      </c>
    </row>
    <row r="91" spans="1:1" x14ac:dyDescent="0.3">
      <c r="A91">
        <v>28</v>
      </c>
    </row>
    <row r="92" spans="1:1" x14ac:dyDescent="0.3">
      <c r="A92">
        <v>29</v>
      </c>
    </row>
    <row r="93" spans="1:1" x14ac:dyDescent="0.3">
      <c r="A93">
        <v>30</v>
      </c>
    </row>
    <row r="94" spans="1:1" x14ac:dyDescent="0.3">
      <c r="A94">
        <v>31</v>
      </c>
    </row>
    <row r="95" spans="1:1" x14ac:dyDescent="0.3">
      <c r="A95">
        <v>32</v>
      </c>
    </row>
    <row r="96" spans="1:1" x14ac:dyDescent="0.3">
      <c r="A96">
        <v>33</v>
      </c>
    </row>
    <row r="97" spans="1:1" x14ac:dyDescent="0.3">
      <c r="A97">
        <v>34</v>
      </c>
    </row>
    <row r="98" spans="1:1" x14ac:dyDescent="0.3">
      <c r="A98">
        <v>35</v>
      </c>
    </row>
    <row r="99" spans="1:1" x14ac:dyDescent="0.3">
      <c r="A99">
        <v>36</v>
      </c>
    </row>
    <row r="100" spans="1:1" x14ac:dyDescent="0.3">
      <c r="A100">
        <v>37</v>
      </c>
    </row>
    <row r="101" spans="1:1" x14ac:dyDescent="0.3">
      <c r="A101">
        <v>38</v>
      </c>
    </row>
    <row r="102" spans="1:1" x14ac:dyDescent="0.3">
      <c r="A102">
        <v>39</v>
      </c>
    </row>
    <row r="103" spans="1:1" x14ac:dyDescent="0.3">
      <c r="A103">
        <v>40</v>
      </c>
    </row>
    <row r="104" spans="1:1" x14ac:dyDescent="0.3">
      <c r="A104">
        <v>41</v>
      </c>
    </row>
    <row r="105" spans="1:1" x14ac:dyDescent="0.3">
      <c r="A105">
        <v>42</v>
      </c>
    </row>
    <row r="106" spans="1:1" x14ac:dyDescent="0.3">
      <c r="A106">
        <v>43</v>
      </c>
    </row>
    <row r="107" spans="1:1" x14ac:dyDescent="0.3">
      <c r="A107">
        <v>44</v>
      </c>
    </row>
    <row r="108" spans="1:1" x14ac:dyDescent="0.3">
      <c r="A108">
        <v>45</v>
      </c>
    </row>
    <row r="109" spans="1:1" x14ac:dyDescent="0.3">
      <c r="A109">
        <v>46</v>
      </c>
    </row>
    <row r="110" spans="1:1" x14ac:dyDescent="0.3">
      <c r="A110">
        <v>47</v>
      </c>
    </row>
    <row r="111" spans="1:1" x14ac:dyDescent="0.3">
      <c r="A111">
        <v>48</v>
      </c>
    </row>
    <row r="112" spans="1:1" x14ac:dyDescent="0.3">
      <c r="A112">
        <v>49</v>
      </c>
    </row>
    <row r="113" spans="1:1" x14ac:dyDescent="0.3">
      <c r="A113">
        <v>50</v>
      </c>
    </row>
    <row r="114" spans="1:1" x14ac:dyDescent="0.3">
      <c r="A114">
        <v>51</v>
      </c>
    </row>
    <row r="115" spans="1:1" x14ac:dyDescent="0.3">
      <c r="A115">
        <v>52</v>
      </c>
    </row>
    <row r="116" spans="1:1" x14ac:dyDescent="0.3">
      <c r="A116">
        <v>53</v>
      </c>
    </row>
    <row r="117" spans="1:1" x14ac:dyDescent="0.3">
      <c r="A117">
        <v>54</v>
      </c>
    </row>
    <row r="118" spans="1:1" x14ac:dyDescent="0.3">
      <c r="A118">
        <v>55</v>
      </c>
    </row>
    <row r="119" spans="1:1" x14ac:dyDescent="0.3">
      <c r="A119">
        <v>56</v>
      </c>
    </row>
    <row r="120" spans="1:1" x14ac:dyDescent="0.3">
      <c r="A120">
        <v>57</v>
      </c>
    </row>
    <row r="121" spans="1:1" x14ac:dyDescent="0.3">
      <c r="A121">
        <v>58</v>
      </c>
    </row>
    <row r="122" spans="1:1" x14ac:dyDescent="0.3">
      <c r="A122">
        <v>59</v>
      </c>
    </row>
  </sheetData>
  <mergeCells count="2">
    <mergeCell ref="E3:E7"/>
    <mergeCell ref="F3:F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Scutari</dc:creator>
  <cp:lastModifiedBy>Thiago Scutari</cp:lastModifiedBy>
  <dcterms:created xsi:type="dcterms:W3CDTF">2026-01-31T18:46:27Z</dcterms:created>
  <dcterms:modified xsi:type="dcterms:W3CDTF">2026-02-03T00:17:05Z</dcterms:modified>
</cp:coreProperties>
</file>